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yder Arroyo Herazo\Desktop\Estadistica Especializacion\Visualizacion\"/>
    </mc:Choice>
  </mc:AlternateContent>
  <xr:revisionPtr revIDLastSave="0" documentId="13_ncr:1_{AB88E8C6-267D-4BBB-A4DA-FD6326F4BE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Por_Ciu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</calcChain>
</file>

<file path=xl/sharedStrings.xml><?xml version="1.0" encoding="utf-8"?>
<sst xmlns="http://schemas.openxmlformats.org/spreadsheetml/2006/main" count="125" uniqueCount="56">
  <si>
    <t>Ciudad</t>
  </si>
  <si>
    <t>Periodo_Dato</t>
  </si>
  <si>
    <t>Hoja_Fuente_DANE</t>
  </si>
  <si>
    <t>% población en edad de trabajar</t>
  </si>
  <si>
    <t>Tasa Global de Participación (TGP)</t>
  </si>
  <si>
    <t>Tasa de Ocupación (TO)</t>
  </si>
  <si>
    <t>Tasa de Desocupación (TD)</t>
  </si>
  <si>
    <t>Tasa de Subocupación (TS)</t>
  </si>
  <si>
    <t>Población total</t>
  </si>
  <si>
    <t>Población en edad de trabajar (PET)</t>
  </si>
  <si>
    <t>Fuerza de trabajo</t>
  </si>
  <si>
    <t>Población ocupada</t>
  </si>
  <si>
    <t>Población desocupada</t>
  </si>
  <si>
    <t>Población fuera de la fuerza de trabajo</t>
  </si>
  <si>
    <t>Población subocupada</t>
  </si>
  <si>
    <t>Fuerza de trabajo potencial</t>
  </si>
  <si>
    <t>Bogotá D.C.</t>
  </si>
  <si>
    <t>Abr 25 - Mar 26</t>
  </si>
  <si>
    <t>Año_móvil_32_ciudades</t>
  </si>
  <si>
    <t>Medellín A.M.</t>
  </si>
  <si>
    <t>Cali A.M.</t>
  </si>
  <si>
    <t>Barranquilla A.M.</t>
  </si>
  <si>
    <t>Bucaramanga A.M.</t>
  </si>
  <si>
    <t>Manizales A.M.</t>
  </si>
  <si>
    <t>Pasto</t>
  </si>
  <si>
    <t>Pereira A.M.</t>
  </si>
  <si>
    <t>Cúcuta A.M.</t>
  </si>
  <si>
    <t>Ibagué</t>
  </si>
  <si>
    <t>Montería</t>
  </si>
  <si>
    <t>Cartagena</t>
  </si>
  <si>
    <t>Villavicencio</t>
  </si>
  <si>
    <t>Tunja</t>
  </si>
  <si>
    <t>Florencia</t>
  </si>
  <si>
    <t>Popayán</t>
  </si>
  <si>
    <t>Valledupar</t>
  </si>
  <si>
    <t>Quibdó</t>
  </si>
  <si>
    <t>Neiva</t>
  </si>
  <si>
    <t>Riohacha</t>
  </si>
  <si>
    <t>Armenia</t>
  </si>
  <si>
    <t>Sincelejo</t>
  </si>
  <si>
    <t>Arauca</t>
  </si>
  <si>
    <t>Yopal</t>
  </si>
  <si>
    <t>Mocoa</t>
  </si>
  <si>
    <t>Leticia</t>
  </si>
  <si>
    <t>Inírida</t>
  </si>
  <si>
    <t>San José del Guaviare</t>
  </si>
  <si>
    <t>Mitú</t>
  </si>
  <si>
    <t>Puerto Carreño</t>
  </si>
  <si>
    <t>San Andrés</t>
  </si>
  <si>
    <t>Buenaventura</t>
  </si>
  <si>
    <t>Año_móvil_5_ciudades_interm</t>
  </si>
  <si>
    <t>Barrancabermeja</t>
  </si>
  <si>
    <t>Soacha</t>
  </si>
  <si>
    <t>Tumaco</t>
  </si>
  <si>
    <t>Rionegro (Antioquia)</t>
  </si>
  <si>
    <t>Poblacion Total mill.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</si>
</sst>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 wrapText="1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26" customWidth="1"/>
    <col min="2" max="2" width="20" customWidth="1"/>
    <col min="3" max="3" width="34" customWidth="1"/>
    <col min="4" max="9" width="14" customWidth="1"/>
    <col min="10" max="10" width="14" style="10" customWidth="1"/>
    <col min="11" max="17" width="14" customWidth="1"/>
  </cols>
  <sheetData>
    <row r="1" spans="1:17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55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16</v>
      </c>
      <c r="B2" s="3" t="s">
        <v>17</v>
      </c>
      <c r="C2" s="3" t="s">
        <v>18</v>
      </c>
      <c r="D2" s="4">
        <v>82.534300000000002</v>
      </c>
      <c r="E2" s="4">
        <v>70.2727</v>
      </c>
      <c r="F2" s="4">
        <v>64.708600000000004</v>
      </c>
      <c r="G2" s="4">
        <v>7.9177999999999997</v>
      </c>
      <c r="H2" s="4">
        <v>6.7839999999999998</v>
      </c>
      <c r="I2" s="4">
        <v>8084.7614999999996</v>
      </c>
      <c r="J2" s="8">
        <f>+I2*1000</f>
        <v>8084761.5</v>
      </c>
      <c r="K2" s="4">
        <v>6672.7047000000002</v>
      </c>
      <c r="L2" s="4">
        <v>194.28479999999999</v>
      </c>
      <c r="M2" s="4">
        <v>4317.8150999999998</v>
      </c>
      <c r="N2" s="4">
        <v>371.27379999999999</v>
      </c>
      <c r="O2" s="4">
        <v>1983.6158</v>
      </c>
      <c r="P2" s="4">
        <v>318.10649999999998</v>
      </c>
      <c r="Q2" s="4"/>
    </row>
    <row r="3" spans="1:17" x14ac:dyDescent="0.25">
      <c r="A3" s="5" t="s">
        <v>19</v>
      </c>
      <c r="B3" s="6" t="s">
        <v>17</v>
      </c>
      <c r="C3" s="6" t="s">
        <v>18</v>
      </c>
      <c r="D3" s="7">
        <v>83.685299999999998</v>
      </c>
      <c r="E3" s="7">
        <v>66.622900000000001</v>
      </c>
      <c r="F3" s="7">
        <v>61.305500000000002</v>
      </c>
      <c r="G3" s="7">
        <v>7.9813999999999998</v>
      </c>
      <c r="H3" s="7">
        <v>6.0979000000000001</v>
      </c>
      <c r="I3" s="7">
        <v>4213.1423000000004</v>
      </c>
      <c r="J3" s="8">
        <f t="shared" ref="J3:J37" si="0">+I3*1000</f>
        <v>4213142.3000000007</v>
      </c>
      <c r="K3" s="7">
        <v>3525.7802999999999</v>
      </c>
      <c r="L3" s="7">
        <v>98.758600000000001</v>
      </c>
      <c r="M3" s="7">
        <v>2161.4967000000001</v>
      </c>
      <c r="N3" s="7">
        <v>187.48070000000001</v>
      </c>
      <c r="O3" s="7">
        <v>1176.8027999999999</v>
      </c>
      <c r="P3" s="7">
        <v>143.2373</v>
      </c>
      <c r="Q3" s="7"/>
    </row>
    <row r="4" spans="1:17" x14ac:dyDescent="0.25">
      <c r="A4" s="2" t="s">
        <v>20</v>
      </c>
      <c r="B4" s="3" t="s">
        <v>17</v>
      </c>
      <c r="C4" s="3" t="s">
        <v>18</v>
      </c>
      <c r="D4" s="4">
        <v>80.198800000000006</v>
      </c>
      <c r="E4" s="4">
        <v>64.1798</v>
      </c>
      <c r="F4" s="4">
        <v>58.686799999999998</v>
      </c>
      <c r="G4" s="4">
        <v>8.5587999999999997</v>
      </c>
      <c r="H4" s="4">
        <v>6.5228999999999999</v>
      </c>
      <c r="I4" s="4">
        <v>2396.0196000000001</v>
      </c>
      <c r="J4" s="8">
        <f t="shared" si="0"/>
        <v>2396019.6</v>
      </c>
      <c r="K4" s="4">
        <v>1921.5782999999999</v>
      </c>
      <c r="L4" s="4">
        <v>72.435900000000004</v>
      </c>
      <c r="M4" s="4">
        <v>1127.7128</v>
      </c>
      <c r="N4" s="4">
        <v>105.5522</v>
      </c>
      <c r="O4" s="4">
        <v>688.31330000000003</v>
      </c>
      <c r="P4" s="4">
        <v>80.444599999999994</v>
      </c>
      <c r="Q4" s="4"/>
    </row>
    <row r="5" spans="1:17" x14ac:dyDescent="0.25">
      <c r="A5" s="5" t="s">
        <v>21</v>
      </c>
      <c r="B5" s="6" t="s">
        <v>17</v>
      </c>
      <c r="C5" s="6" t="s">
        <v>18</v>
      </c>
      <c r="D5" s="7">
        <v>77.774000000000001</v>
      </c>
      <c r="E5" s="7">
        <v>63.874600000000001</v>
      </c>
      <c r="F5" s="7">
        <v>57.741100000000003</v>
      </c>
      <c r="G5" s="7">
        <v>9.6023999999999994</v>
      </c>
      <c r="H5" s="7">
        <v>8.5808999999999997</v>
      </c>
      <c r="I5" s="7">
        <v>2065.2287999999999</v>
      </c>
      <c r="J5" s="8">
        <f t="shared" si="0"/>
        <v>2065228.7999999998</v>
      </c>
      <c r="K5" s="7">
        <v>1606.2119</v>
      </c>
      <c r="L5" s="7">
        <v>76.254499999999993</v>
      </c>
      <c r="M5" s="7">
        <v>927.44389999999999</v>
      </c>
      <c r="N5" s="7">
        <v>98.5167</v>
      </c>
      <c r="O5" s="7">
        <v>580.25120000000004</v>
      </c>
      <c r="P5" s="7">
        <v>88.036299999999997</v>
      </c>
      <c r="Q5" s="7"/>
    </row>
    <row r="6" spans="1:17" x14ac:dyDescent="0.25">
      <c r="A6" s="2" t="s">
        <v>22</v>
      </c>
      <c r="B6" s="3" t="s">
        <v>17</v>
      </c>
      <c r="C6" s="3" t="s">
        <v>18</v>
      </c>
      <c r="D6" s="4">
        <v>81.296999999999997</v>
      </c>
      <c r="E6" s="4">
        <v>64.897499999999994</v>
      </c>
      <c r="F6" s="4">
        <v>59.652799999999999</v>
      </c>
      <c r="G6" s="4">
        <v>8.0815000000000001</v>
      </c>
      <c r="H6" s="4">
        <v>4.9390000000000001</v>
      </c>
      <c r="I6" s="4">
        <v>1255.6348</v>
      </c>
      <c r="J6" s="8">
        <f t="shared" si="0"/>
        <v>1255634.8</v>
      </c>
      <c r="K6" s="4">
        <v>1020.7939</v>
      </c>
      <c r="L6" s="4">
        <v>21.463799999999999</v>
      </c>
      <c r="M6" s="4">
        <v>608.93259999999998</v>
      </c>
      <c r="N6" s="4">
        <v>53.537500000000001</v>
      </c>
      <c r="O6" s="4">
        <v>358.32380000000001</v>
      </c>
      <c r="P6" s="4">
        <v>32.719200000000001</v>
      </c>
      <c r="Q6" s="4"/>
    </row>
    <row r="7" spans="1:17" x14ac:dyDescent="0.25">
      <c r="A7" s="5" t="s">
        <v>23</v>
      </c>
      <c r="B7" s="6" t="s">
        <v>17</v>
      </c>
      <c r="C7" s="6" t="s">
        <v>18</v>
      </c>
      <c r="D7" s="7">
        <v>84.132499999999993</v>
      </c>
      <c r="E7" s="7">
        <v>62.231400000000001</v>
      </c>
      <c r="F7" s="7">
        <v>57.080500000000001</v>
      </c>
      <c r="G7" s="7">
        <v>8.2768999999999995</v>
      </c>
      <c r="H7" s="7">
        <v>4.4477000000000002</v>
      </c>
      <c r="I7" s="7">
        <v>510.1336</v>
      </c>
      <c r="J7" s="8">
        <f t="shared" si="0"/>
        <v>510133.6</v>
      </c>
      <c r="K7" s="7">
        <v>429.18810000000002</v>
      </c>
      <c r="L7" s="7">
        <v>10.9084</v>
      </c>
      <c r="M7" s="7">
        <v>244.9829</v>
      </c>
      <c r="N7" s="7">
        <v>22.1068</v>
      </c>
      <c r="O7" s="7">
        <v>162.0984</v>
      </c>
      <c r="P7" s="7">
        <v>11.8795</v>
      </c>
      <c r="Q7" s="7"/>
    </row>
    <row r="8" spans="1:17" x14ac:dyDescent="0.25">
      <c r="A8" s="2" t="s">
        <v>24</v>
      </c>
      <c r="B8" s="3" t="s">
        <v>17</v>
      </c>
      <c r="C8" s="3" t="s">
        <v>18</v>
      </c>
      <c r="D8" s="4">
        <v>83.716300000000004</v>
      </c>
      <c r="E8" s="4">
        <v>69.111599999999996</v>
      </c>
      <c r="F8" s="4">
        <v>62.6751</v>
      </c>
      <c r="G8" s="4">
        <v>9.3132000000000001</v>
      </c>
      <c r="H8" s="4">
        <v>14.105399999999999</v>
      </c>
      <c r="I8" s="4">
        <v>307.87329999999997</v>
      </c>
      <c r="J8" s="8">
        <f t="shared" si="0"/>
        <v>307873.3</v>
      </c>
      <c r="K8" s="4">
        <v>257.74029999999999</v>
      </c>
      <c r="L8" s="4">
        <v>14.342700000000001</v>
      </c>
      <c r="M8" s="4">
        <v>161.53890000000001</v>
      </c>
      <c r="N8" s="4">
        <v>16.589500000000001</v>
      </c>
      <c r="O8" s="4">
        <v>79.611800000000002</v>
      </c>
      <c r="P8" s="4">
        <v>25.125699999999998</v>
      </c>
      <c r="Q8" s="4"/>
    </row>
    <row r="9" spans="1:17" x14ac:dyDescent="0.25">
      <c r="A9" s="5" t="s">
        <v>25</v>
      </c>
      <c r="B9" s="6" t="s">
        <v>17</v>
      </c>
      <c r="C9" s="6" t="s">
        <v>18</v>
      </c>
      <c r="D9" s="7">
        <v>82.765500000000003</v>
      </c>
      <c r="E9" s="7">
        <v>61.1691</v>
      </c>
      <c r="F9" s="7">
        <v>56.009300000000003</v>
      </c>
      <c r="G9" s="7">
        <v>8.4352999999999998</v>
      </c>
      <c r="H9" s="7">
        <v>4.9867999999999997</v>
      </c>
      <c r="I9" s="7">
        <v>679.49400000000003</v>
      </c>
      <c r="J9" s="8">
        <f t="shared" si="0"/>
        <v>679494</v>
      </c>
      <c r="K9" s="7">
        <v>562.38670000000002</v>
      </c>
      <c r="L9" s="7">
        <v>11.982200000000001</v>
      </c>
      <c r="M9" s="7">
        <v>314.98899999999998</v>
      </c>
      <c r="N9" s="7">
        <v>29.018000000000001</v>
      </c>
      <c r="O9" s="7">
        <v>218.37970000000001</v>
      </c>
      <c r="P9" s="7">
        <v>17.155100000000001</v>
      </c>
      <c r="Q9" s="7"/>
    </row>
    <row r="10" spans="1:17" x14ac:dyDescent="0.25">
      <c r="A10" s="2" t="s">
        <v>26</v>
      </c>
      <c r="B10" s="3" t="s">
        <v>17</v>
      </c>
      <c r="C10" s="3" t="s">
        <v>18</v>
      </c>
      <c r="D10" s="4">
        <v>78.000399999999999</v>
      </c>
      <c r="E10" s="4">
        <v>62.48</v>
      </c>
      <c r="F10" s="4">
        <v>55.526400000000002</v>
      </c>
      <c r="G10" s="4">
        <v>11.129300000000001</v>
      </c>
      <c r="H10" s="4">
        <v>6.7538</v>
      </c>
      <c r="I10" s="4">
        <v>1012.4705</v>
      </c>
      <c r="J10" s="8">
        <f t="shared" si="0"/>
        <v>1012470.5</v>
      </c>
      <c r="K10" s="4">
        <v>789.73080000000004</v>
      </c>
      <c r="L10" s="4">
        <v>32.797699999999999</v>
      </c>
      <c r="M10" s="4">
        <v>438.50920000000002</v>
      </c>
      <c r="N10" s="4">
        <v>54.9148</v>
      </c>
      <c r="O10" s="4">
        <v>296.30680000000001</v>
      </c>
      <c r="P10" s="4">
        <v>33.324800000000003</v>
      </c>
      <c r="Q10" s="4"/>
    </row>
    <row r="11" spans="1:17" x14ac:dyDescent="0.25">
      <c r="A11" s="5" t="s">
        <v>27</v>
      </c>
      <c r="B11" s="6" t="s">
        <v>17</v>
      </c>
      <c r="C11" s="6" t="s">
        <v>18</v>
      </c>
      <c r="D11" s="7">
        <v>82.641999999999996</v>
      </c>
      <c r="E11" s="7">
        <v>59.7179</v>
      </c>
      <c r="F11" s="7">
        <v>52.721899999999998</v>
      </c>
      <c r="G11" s="7">
        <v>11.7151</v>
      </c>
      <c r="H11" s="7">
        <v>5.1029999999999998</v>
      </c>
      <c r="I11" s="7">
        <v>511.47390000000001</v>
      </c>
      <c r="J11" s="8">
        <f t="shared" si="0"/>
        <v>511473.9</v>
      </c>
      <c r="K11" s="7">
        <v>422.6925</v>
      </c>
      <c r="L11" s="7">
        <v>5.9447000000000001</v>
      </c>
      <c r="M11" s="7">
        <v>222.85159999999999</v>
      </c>
      <c r="N11" s="7">
        <v>29.5716</v>
      </c>
      <c r="O11" s="7">
        <v>170.26929999999999</v>
      </c>
      <c r="P11" s="7">
        <v>12.8813</v>
      </c>
      <c r="Q11" s="7"/>
    </row>
    <row r="12" spans="1:17" x14ac:dyDescent="0.25">
      <c r="A12" s="2" t="s">
        <v>28</v>
      </c>
      <c r="B12" s="3" t="s">
        <v>17</v>
      </c>
      <c r="C12" s="3" t="s">
        <v>18</v>
      </c>
      <c r="D12" s="4">
        <v>78.084800000000001</v>
      </c>
      <c r="E12" s="4">
        <v>63.699199999999998</v>
      </c>
      <c r="F12" s="4">
        <v>57.402200000000001</v>
      </c>
      <c r="G12" s="4">
        <v>9.8855000000000004</v>
      </c>
      <c r="H12" s="4">
        <v>5.1158999999999999</v>
      </c>
      <c r="I12" s="4">
        <v>404.98910000000001</v>
      </c>
      <c r="J12" s="8">
        <f t="shared" si="0"/>
        <v>404989.10000000003</v>
      </c>
      <c r="K12" s="4">
        <v>316.23480000000001</v>
      </c>
      <c r="L12" s="4">
        <v>5.9207999999999998</v>
      </c>
      <c r="M12" s="4">
        <v>181.5258</v>
      </c>
      <c r="N12" s="4">
        <v>19.9133</v>
      </c>
      <c r="O12" s="4">
        <v>114.79559999999999</v>
      </c>
      <c r="P12" s="4">
        <v>10.305400000000001</v>
      </c>
      <c r="Q12" s="4"/>
    </row>
    <row r="13" spans="1:17" x14ac:dyDescent="0.25">
      <c r="A13" s="5" t="s">
        <v>29</v>
      </c>
      <c r="B13" s="6" t="s">
        <v>17</v>
      </c>
      <c r="C13" s="6" t="s">
        <v>18</v>
      </c>
      <c r="D13" s="7">
        <v>77.408100000000005</v>
      </c>
      <c r="E13" s="7">
        <v>63.750799999999998</v>
      </c>
      <c r="F13" s="7">
        <v>56.228400000000001</v>
      </c>
      <c r="G13" s="7">
        <v>11.7997</v>
      </c>
      <c r="H13" s="7">
        <v>8.6699000000000002</v>
      </c>
      <c r="I13" s="7">
        <v>957.50630000000001</v>
      </c>
      <c r="J13" s="8">
        <f t="shared" si="0"/>
        <v>957506.3</v>
      </c>
      <c r="K13" s="7">
        <v>741.18709999999999</v>
      </c>
      <c r="L13" s="7">
        <v>26.648499999999999</v>
      </c>
      <c r="M13" s="7">
        <v>416.75779999999997</v>
      </c>
      <c r="N13" s="7">
        <v>55.755200000000002</v>
      </c>
      <c r="O13" s="7">
        <v>268.67410000000001</v>
      </c>
      <c r="P13" s="7">
        <v>40.9666</v>
      </c>
      <c r="Q13" s="7"/>
    </row>
    <row r="14" spans="1:17" x14ac:dyDescent="0.25">
      <c r="A14" s="2" t="s">
        <v>30</v>
      </c>
      <c r="B14" s="3" t="s">
        <v>17</v>
      </c>
      <c r="C14" s="3" t="s">
        <v>18</v>
      </c>
      <c r="D14" s="4">
        <v>79.319199999999995</v>
      </c>
      <c r="E14" s="4">
        <v>67.152600000000007</v>
      </c>
      <c r="F14" s="4">
        <v>62.162500000000001</v>
      </c>
      <c r="G14" s="4">
        <v>7.431</v>
      </c>
      <c r="H14" s="4">
        <v>7.8817000000000004</v>
      </c>
      <c r="I14" s="4">
        <v>520.92579999999998</v>
      </c>
      <c r="J14" s="8">
        <f t="shared" si="0"/>
        <v>520925.8</v>
      </c>
      <c r="K14" s="4">
        <v>413.1943</v>
      </c>
      <c r="L14" s="4">
        <v>10.1233</v>
      </c>
      <c r="M14" s="4">
        <v>256.85199999999998</v>
      </c>
      <c r="N14" s="4">
        <v>20.6188</v>
      </c>
      <c r="O14" s="4">
        <v>135.7235</v>
      </c>
      <c r="P14" s="4">
        <v>21.869499999999999</v>
      </c>
      <c r="Q14" s="4"/>
    </row>
    <row r="15" spans="1:17" x14ac:dyDescent="0.25">
      <c r="A15" s="5" t="s">
        <v>31</v>
      </c>
      <c r="B15" s="6" t="s">
        <v>17</v>
      </c>
      <c r="C15" s="6" t="s">
        <v>18</v>
      </c>
      <c r="D15" s="7">
        <v>80.394000000000005</v>
      </c>
      <c r="E15" s="7">
        <v>61.190100000000001</v>
      </c>
      <c r="F15" s="7">
        <v>54.822800000000001</v>
      </c>
      <c r="G15" s="7">
        <v>10.4057</v>
      </c>
      <c r="H15" s="7">
        <v>4.1303000000000001</v>
      </c>
      <c r="I15" s="7">
        <v>179.72309999999999</v>
      </c>
      <c r="J15" s="8">
        <f t="shared" si="0"/>
        <v>179723.09999999998</v>
      </c>
      <c r="K15" s="7">
        <v>144.48660000000001</v>
      </c>
      <c r="L15" s="7">
        <v>2.0162</v>
      </c>
      <c r="M15" s="7">
        <v>79.211600000000004</v>
      </c>
      <c r="N15" s="7">
        <v>9.1998999999999995</v>
      </c>
      <c r="O15" s="7">
        <v>56.075099999999999</v>
      </c>
      <c r="P15" s="7">
        <v>3.6516999999999999</v>
      </c>
      <c r="Q15" s="7"/>
    </row>
    <row r="16" spans="1:17" x14ac:dyDescent="0.25">
      <c r="A16" s="2" t="s">
        <v>32</v>
      </c>
      <c r="B16" s="3" t="s">
        <v>17</v>
      </c>
      <c r="C16" s="3" t="s">
        <v>18</v>
      </c>
      <c r="D16" s="4">
        <v>76.656300000000002</v>
      </c>
      <c r="E16" s="4">
        <v>60.798299999999998</v>
      </c>
      <c r="F16" s="4">
        <v>55.220300000000002</v>
      </c>
      <c r="G16" s="4">
        <v>9.1746999999999996</v>
      </c>
      <c r="H16" s="4">
        <v>7.0856000000000003</v>
      </c>
      <c r="I16" s="4">
        <v>162.03479999999999</v>
      </c>
      <c r="J16" s="8">
        <f t="shared" si="0"/>
        <v>162034.79999999999</v>
      </c>
      <c r="K16" s="4">
        <v>124.2098</v>
      </c>
      <c r="L16" s="4">
        <v>2.2265000000000001</v>
      </c>
      <c r="M16" s="4">
        <v>68.588999999999999</v>
      </c>
      <c r="N16" s="4">
        <v>6.9284999999999997</v>
      </c>
      <c r="O16" s="4">
        <v>48.692399999999999</v>
      </c>
      <c r="P16" s="4">
        <v>5.3509000000000002</v>
      </c>
      <c r="Q16" s="4"/>
    </row>
    <row r="17" spans="1:17" x14ac:dyDescent="0.25">
      <c r="A17" s="5" t="s">
        <v>33</v>
      </c>
      <c r="B17" s="6" t="s">
        <v>17</v>
      </c>
      <c r="C17" s="6" t="s">
        <v>18</v>
      </c>
      <c r="D17" s="7">
        <v>82.138900000000007</v>
      </c>
      <c r="E17" s="7">
        <v>60.292299999999997</v>
      </c>
      <c r="F17" s="7">
        <v>54.360799999999998</v>
      </c>
      <c r="G17" s="7">
        <v>9.8378999999999994</v>
      </c>
      <c r="H17" s="7">
        <v>8.3579000000000008</v>
      </c>
      <c r="I17" s="7">
        <v>274.41309999999999</v>
      </c>
      <c r="J17" s="8">
        <f t="shared" si="0"/>
        <v>274413.09999999998</v>
      </c>
      <c r="K17" s="7">
        <v>225.4</v>
      </c>
      <c r="L17" s="7">
        <v>6.0717999999999996</v>
      </c>
      <c r="M17" s="7">
        <v>122.5292</v>
      </c>
      <c r="N17" s="7">
        <v>13.3697</v>
      </c>
      <c r="O17" s="7">
        <v>89.501099999999994</v>
      </c>
      <c r="P17" s="7">
        <v>11.3583</v>
      </c>
      <c r="Q17" s="7"/>
    </row>
    <row r="18" spans="1:17" x14ac:dyDescent="0.25">
      <c r="A18" s="2" t="s">
        <v>34</v>
      </c>
      <c r="B18" s="3" t="s">
        <v>17</v>
      </c>
      <c r="C18" s="3" t="s">
        <v>18</v>
      </c>
      <c r="D18" s="4">
        <v>75.138499999999993</v>
      </c>
      <c r="E18" s="4">
        <v>58.481699999999996</v>
      </c>
      <c r="F18" s="4">
        <v>53.027799999999999</v>
      </c>
      <c r="G18" s="4">
        <v>9.3259000000000007</v>
      </c>
      <c r="H18" s="4">
        <v>6.0228000000000002</v>
      </c>
      <c r="I18" s="4">
        <v>503.51170000000002</v>
      </c>
      <c r="J18" s="8">
        <f t="shared" si="0"/>
        <v>503511.7</v>
      </c>
      <c r="K18" s="4">
        <v>378.33109999999999</v>
      </c>
      <c r="L18" s="4">
        <v>12.2494</v>
      </c>
      <c r="M18" s="4">
        <v>200.6207</v>
      </c>
      <c r="N18" s="4">
        <v>20.633900000000001</v>
      </c>
      <c r="O18" s="4">
        <v>157.07650000000001</v>
      </c>
      <c r="P18" s="4">
        <v>13.325699999999999</v>
      </c>
      <c r="Q18" s="4"/>
    </row>
    <row r="19" spans="1:17" x14ac:dyDescent="0.25">
      <c r="A19" s="5" t="s">
        <v>35</v>
      </c>
      <c r="B19" s="6" t="s">
        <v>17</v>
      </c>
      <c r="C19" s="6" t="s">
        <v>18</v>
      </c>
      <c r="D19" s="7">
        <v>71.791499999999999</v>
      </c>
      <c r="E19" s="7">
        <v>57.015700000000002</v>
      </c>
      <c r="F19" s="7">
        <v>42.8673</v>
      </c>
      <c r="G19" s="7">
        <v>24.815000000000001</v>
      </c>
      <c r="H19" s="7">
        <v>2.7467000000000001</v>
      </c>
      <c r="I19" s="7">
        <v>114.5378</v>
      </c>
      <c r="J19" s="8">
        <f t="shared" si="0"/>
        <v>114537.8</v>
      </c>
      <c r="K19" s="7">
        <v>82.228399999999993</v>
      </c>
      <c r="L19" s="7">
        <v>5.6645000000000003</v>
      </c>
      <c r="M19" s="7">
        <v>35.249099999999999</v>
      </c>
      <c r="N19" s="7">
        <v>11.6341</v>
      </c>
      <c r="O19" s="7">
        <v>35.345300000000002</v>
      </c>
      <c r="P19" s="7">
        <v>1.2877000000000001</v>
      </c>
      <c r="Q19" s="7"/>
    </row>
    <row r="20" spans="1:17" x14ac:dyDescent="0.25">
      <c r="A20" s="2" t="s">
        <v>36</v>
      </c>
      <c r="B20" s="3" t="s">
        <v>17</v>
      </c>
      <c r="C20" s="3" t="s">
        <v>18</v>
      </c>
      <c r="D20" s="4">
        <v>76.983000000000004</v>
      </c>
      <c r="E20" s="4">
        <v>59.073999999999998</v>
      </c>
      <c r="F20" s="4">
        <v>53.723799999999997</v>
      </c>
      <c r="G20" s="4">
        <v>9.0569000000000006</v>
      </c>
      <c r="H20" s="4">
        <v>6.9741</v>
      </c>
      <c r="I20" s="4">
        <v>352.29340000000002</v>
      </c>
      <c r="J20" s="8">
        <f t="shared" si="0"/>
        <v>352293.4</v>
      </c>
      <c r="K20" s="4">
        <v>271.20589999999999</v>
      </c>
      <c r="L20" s="4">
        <v>2.9748000000000001</v>
      </c>
      <c r="M20" s="4">
        <v>145.7021</v>
      </c>
      <c r="N20" s="4">
        <v>14.510199999999999</v>
      </c>
      <c r="O20" s="4">
        <v>110.9936</v>
      </c>
      <c r="P20" s="4">
        <v>11.173400000000001</v>
      </c>
      <c r="Q20" s="4"/>
    </row>
    <row r="21" spans="1:17" x14ac:dyDescent="0.25">
      <c r="A21" s="5" t="s">
        <v>37</v>
      </c>
      <c r="B21" s="6" t="s">
        <v>17</v>
      </c>
      <c r="C21" s="6" t="s">
        <v>18</v>
      </c>
      <c r="D21" s="7">
        <v>70.694299999999998</v>
      </c>
      <c r="E21" s="7">
        <v>62.727899999999998</v>
      </c>
      <c r="F21" s="7">
        <v>54.196800000000003</v>
      </c>
      <c r="G21" s="7">
        <v>13.600099999999999</v>
      </c>
      <c r="H21" s="7">
        <v>8.8702000000000005</v>
      </c>
      <c r="I21" s="7">
        <v>161.6986</v>
      </c>
      <c r="J21" s="8">
        <f t="shared" si="0"/>
        <v>161698.6</v>
      </c>
      <c r="K21" s="7">
        <v>114.3117</v>
      </c>
      <c r="L21" s="7">
        <v>4.0556999999999999</v>
      </c>
      <c r="M21" s="7">
        <v>61.953299999999999</v>
      </c>
      <c r="N21" s="7">
        <v>9.7520000000000007</v>
      </c>
      <c r="O21" s="7">
        <v>42.606299999999997</v>
      </c>
      <c r="P21" s="7">
        <v>6.3604000000000003</v>
      </c>
      <c r="Q21" s="7"/>
    </row>
    <row r="22" spans="1:17" x14ac:dyDescent="0.25">
      <c r="A22" s="2" t="s">
        <v>38</v>
      </c>
      <c r="B22" s="3" t="s">
        <v>17</v>
      </c>
      <c r="C22" s="3" t="s">
        <v>18</v>
      </c>
      <c r="D22" s="4">
        <v>83.208299999999994</v>
      </c>
      <c r="E22" s="4">
        <v>60.325800000000001</v>
      </c>
      <c r="F22" s="4">
        <v>53.9983</v>
      </c>
      <c r="G22" s="4">
        <v>10.488899999999999</v>
      </c>
      <c r="H22" s="4">
        <v>6.1772999999999998</v>
      </c>
      <c r="I22" s="4">
        <v>317.71350000000001</v>
      </c>
      <c r="J22" s="8">
        <f t="shared" si="0"/>
        <v>317713.5</v>
      </c>
      <c r="K22" s="4">
        <v>264.3639</v>
      </c>
      <c r="L22" s="4">
        <v>9.6128</v>
      </c>
      <c r="M22" s="4">
        <v>142.75190000000001</v>
      </c>
      <c r="N22" s="4">
        <v>16.727699999999999</v>
      </c>
      <c r="O22" s="4">
        <v>104.8843</v>
      </c>
      <c r="P22" s="4">
        <v>9.8514999999999997</v>
      </c>
      <c r="Q22" s="4"/>
    </row>
    <row r="23" spans="1:17" x14ac:dyDescent="0.25">
      <c r="A23" s="5" t="s">
        <v>39</v>
      </c>
      <c r="B23" s="6" t="s">
        <v>17</v>
      </c>
      <c r="C23" s="6" t="s">
        <v>18</v>
      </c>
      <c r="D23" s="7">
        <v>77.176699999999997</v>
      </c>
      <c r="E23" s="7">
        <v>63.320900000000002</v>
      </c>
      <c r="F23" s="7">
        <v>55.826000000000001</v>
      </c>
      <c r="G23" s="7">
        <v>11.836399999999999</v>
      </c>
      <c r="H23" s="7">
        <v>8.1675000000000004</v>
      </c>
      <c r="I23" s="7">
        <v>271.05360000000002</v>
      </c>
      <c r="J23" s="8">
        <f t="shared" si="0"/>
        <v>271053.60000000003</v>
      </c>
      <c r="K23" s="7">
        <v>209.1901</v>
      </c>
      <c r="L23" s="7">
        <v>8.2149000000000001</v>
      </c>
      <c r="M23" s="7">
        <v>116.7824</v>
      </c>
      <c r="N23" s="7">
        <v>15.678599999999999</v>
      </c>
      <c r="O23" s="7">
        <v>76.728999999999999</v>
      </c>
      <c r="P23" s="7">
        <v>10.8188</v>
      </c>
      <c r="Q23" s="7"/>
    </row>
    <row r="24" spans="1:17" x14ac:dyDescent="0.25">
      <c r="A24" s="2" t="s">
        <v>40</v>
      </c>
      <c r="B24" s="3" t="s">
        <v>17</v>
      </c>
      <c r="C24" s="3" t="s">
        <v>18</v>
      </c>
      <c r="D24" s="4">
        <v>75.989699999999999</v>
      </c>
      <c r="E24" s="4">
        <v>68.394000000000005</v>
      </c>
      <c r="F24" s="4">
        <v>55.856200000000001</v>
      </c>
      <c r="G24" s="4">
        <v>18.331800000000001</v>
      </c>
      <c r="H24" s="4">
        <v>8.6265999999999998</v>
      </c>
      <c r="I24" s="4">
        <v>88.7637</v>
      </c>
      <c r="J24" s="8">
        <f t="shared" si="0"/>
        <v>88763.7</v>
      </c>
      <c r="K24" s="4">
        <v>67.451300000000003</v>
      </c>
      <c r="L24" s="4">
        <v>0.3861</v>
      </c>
      <c r="M24" s="4">
        <v>37.675800000000002</v>
      </c>
      <c r="N24" s="4">
        <v>8.4568999999999992</v>
      </c>
      <c r="O24" s="4">
        <v>21.3186</v>
      </c>
      <c r="P24" s="4">
        <v>3.9796999999999998</v>
      </c>
      <c r="Q24" s="4"/>
    </row>
    <row r="25" spans="1:17" x14ac:dyDescent="0.25">
      <c r="A25" s="5" t="s">
        <v>41</v>
      </c>
      <c r="B25" s="6" t="s">
        <v>17</v>
      </c>
      <c r="C25" s="6" t="s">
        <v>18</v>
      </c>
      <c r="D25" s="7">
        <v>76.623000000000005</v>
      </c>
      <c r="E25" s="7">
        <v>73.653599999999997</v>
      </c>
      <c r="F25" s="7">
        <v>67.0197</v>
      </c>
      <c r="G25" s="7">
        <v>9.0069999999999997</v>
      </c>
      <c r="H25" s="7">
        <v>4.4915000000000003</v>
      </c>
      <c r="I25" s="7">
        <v>160.06120000000001</v>
      </c>
      <c r="J25" s="8">
        <f t="shared" si="0"/>
        <v>160061.20000000001</v>
      </c>
      <c r="K25" s="7">
        <v>122.6437</v>
      </c>
      <c r="L25" s="7">
        <v>4.0838000000000001</v>
      </c>
      <c r="M25" s="7">
        <v>82.195400000000006</v>
      </c>
      <c r="N25" s="7">
        <v>8.1361000000000008</v>
      </c>
      <c r="O25" s="7">
        <v>32.312199999999997</v>
      </c>
      <c r="P25" s="7">
        <v>4.0571999999999999</v>
      </c>
      <c r="Q25" s="7"/>
    </row>
    <row r="26" spans="1:17" x14ac:dyDescent="0.25">
      <c r="A26" s="2" t="s">
        <v>42</v>
      </c>
      <c r="B26" s="3" t="s">
        <v>17</v>
      </c>
      <c r="C26" s="3" t="s">
        <v>18</v>
      </c>
      <c r="D26" s="4">
        <v>79.225999999999999</v>
      </c>
      <c r="E26" s="4">
        <v>58.615699999999997</v>
      </c>
      <c r="F26" s="4">
        <v>48.165900000000001</v>
      </c>
      <c r="G26" s="4">
        <v>17.8277</v>
      </c>
      <c r="H26" s="4">
        <v>6.7035999999999998</v>
      </c>
      <c r="I26" s="4">
        <v>44.510800000000003</v>
      </c>
      <c r="J26" s="8">
        <f t="shared" si="0"/>
        <v>44510.8</v>
      </c>
      <c r="K26" s="4">
        <v>35.264200000000002</v>
      </c>
      <c r="L26" s="4">
        <v>0</v>
      </c>
      <c r="M26" s="4">
        <v>16.985299999999999</v>
      </c>
      <c r="N26" s="4">
        <v>3.6850000000000001</v>
      </c>
      <c r="O26" s="4">
        <v>14.5938</v>
      </c>
      <c r="P26" s="4">
        <v>1.3855999999999999</v>
      </c>
      <c r="Q26" s="4"/>
    </row>
    <row r="27" spans="1:17" x14ac:dyDescent="0.25">
      <c r="A27" s="5" t="s">
        <v>43</v>
      </c>
      <c r="B27" s="6" t="s">
        <v>17</v>
      </c>
      <c r="C27" s="6" t="s">
        <v>18</v>
      </c>
      <c r="D27" s="7">
        <v>71.181100000000001</v>
      </c>
      <c r="E27" s="7">
        <v>58.7774</v>
      </c>
      <c r="F27" s="7">
        <v>56.881700000000002</v>
      </c>
      <c r="G27" s="7">
        <v>3.2252999999999998</v>
      </c>
      <c r="H27" s="7">
        <v>0.85440000000000005</v>
      </c>
      <c r="I27" s="7">
        <v>41.038499999999999</v>
      </c>
      <c r="J27" s="8">
        <f t="shared" si="0"/>
        <v>41038.5</v>
      </c>
      <c r="K27" s="7">
        <v>29.2117</v>
      </c>
      <c r="L27" s="7">
        <v>4.2799999999999998E-2</v>
      </c>
      <c r="M27" s="7">
        <v>16.616099999999999</v>
      </c>
      <c r="N27" s="7">
        <v>0.55379999999999996</v>
      </c>
      <c r="O27" s="7">
        <v>12.0418</v>
      </c>
      <c r="P27" s="7">
        <v>0.1467</v>
      </c>
      <c r="Q27" s="7"/>
    </row>
    <row r="28" spans="1:17" x14ac:dyDescent="0.25">
      <c r="A28" s="2" t="s">
        <v>44</v>
      </c>
      <c r="B28" s="3" t="s">
        <v>17</v>
      </c>
      <c r="C28" s="3" t="s">
        <v>18</v>
      </c>
      <c r="D28" s="4">
        <v>72.382400000000004</v>
      </c>
      <c r="E28" s="4">
        <v>54.720500000000001</v>
      </c>
      <c r="F28" s="4">
        <v>50.978900000000003</v>
      </c>
      <c r="G28" s="4">
        <v>6.8376999999999999</v>
      </c>
      <c r="H28" s="4">
        <v>0.28170000000000001</v>
      </c>
      <c r="I28" s="4">
        <v>25.0336</v>
      </c>
      <c r="J28" s="8">
        <f t="shared" si="0"/>
        <v>25033.599999999999</v>
      </c>
      <c r="K28" s="4">
        <v>18.119900000000001</v>
      </c>
      <c r="L28" s="4">
        <v>5.57E-2</v>
      </c>
      <c r="M28" s="4">
        <v>9.2372999999999994</v>
      </c>
      <c r="N28" s="4">
        <v>0.67800000000000005</v>
      </c>
      <c r="O28" s="4">
        <v>8.2045999999999992</v>
      </c>
      <c r="P28" s="4">
        <v>2.7900000000000001E-2</v>
      </c>
      <c r="Q28" s="4"/>
    </row>
    <row r="29" spans="1:17" x14ac:dyDescent="0.25">
      <c r="A29" s="5" t="s">
        <v>45</v>
      </c>
      <c r="B29" s="6" t="s">
        <v>17</v>
      </c>
      <c r="C29" s="6" t="s">
        <v>18</v>
      </c>
      <c r="D29" s="7">
        <v>75.622399999999999</v>
      </c>
      <c r="E29" s="7">
        <v>83.204400000000007</v>
      </c>
      <c r="F29" s="7">
        <v>75.272499999999994</v>
      </c>
      <c r="G29" s="7">
        <v>9.5329999999999995</v>
      </c>
      <c r="H29" s="7">
        <v>3.3952</v>
      </c>
      <c r="I29" s="7">
        <v>43.380600000000001</v>
      </c>
      <c r="J29" s="8">
        <f t="shared" si="0"/>
        <v>43380.6</v>
      </c>
      <c r="K29" s="7">
        <v>32.805399999999999</v>
      </c>
      <c r="L29" s="7">
        <v>1.3411</v>
      </c>
      <c r="M29" s="7">
        <v>24.6935</v>
      </c>
      <c r="N29" s="7">
        <v>2.6021000000000001</v>
      </c>
      <c r="O29" s="7">
        <v>5.5099</v>
      </c>
      <c r="P29" s="7">
        <v>0.92669999999999997</v>
      </c>
      <c r="Q29" s="7"/>
    </row>
    <row r="30" spans="1:17" x14ac:dyDescent="0.25">
      <c r="A30" s="2" t="s">
        <v>46</v>
      </c>
      <c r="B30" s="3" t="s">
        <v>17</v>
      </c>
      <c r="C30" s="3" t="s">
        <v>18</v>
      </c>
      <c r="D30" s="4">
        <v>76.864999999999995</v>
      </c>
      <c r="E30" s="4">
        <v>59.784399999999998</v>
      </c>
      <c r="F30" s="4">
        <v>56.024299999999997</v>
      </c>
      <c r="G30" s="4">
        <v>6.2893999999999997</v>
      </c>
      <c r="H30" s="4">
        <v>1.4718</v>
      </c>
      <c r="I30" s="4">
        <v>12.2844</v>
      </c>
      <c r="J30" s="8">
        <f t="shared" si="0"/>
        <v>12284.4</v>
      </c>
      <c r="K30" s="4">
        <v>9.4423999999999992</v>
      </c>
      <c r="L30" s="4">
        <v>5.2600000000000001E-2</v>
      </c>
      <c r="M30" s="4">
        <v>5.29</v>
      </c>
      <c r="N30" s="4">
        <v>0.35499999999999998</v>
      </c>
      <c r="O30" s="4">
        <v>3.7972999999999999</v>
      </c>
      <c r="P30" s="4">
        <v>8.3099999999999993E-2</v>
      </c>
      <c r="Q30" s="4"/>
    </row>
    <row r="31" spans="1:17" x14ac:dyDescent="0.25">
      <c r="A31" s="5" t="s">
        <v>47</v>
      </c>
      <c r="B31" s="6" t="s">
        <v>17</v>
      </c>
      <c r="C31" s="6" t="s">
        <v>18</v>
      </c>
      <c r="D31" s="7">
        <v>72.958699999999993</v>
      </c>
      <c r="E31" s="7">
        <v>73.489699999999999</v>
      </c>
      <c r="F31" s="7">
        <v>64.568899999999999</v>
      </c>
      <c r="G31" s="7">
        <v>12.1388</v>
      </c>
      <c r="H31" s="7">
        <v>7.5888</v>
      </c>
      <c r="I31" s="7">
        <v>16.221499999999999</v>
      </c>
      <c r="J31" s="8">
        <f t="shared" si="0"/>
        <v>16221.499999999998</v>
      </c>
      <c r="K31" s="7">
        <v>11.835000000000001</v>
      </c>
      <c r="L31" s="7">
        <v>1.1704000000000001</v>
      </c>
      <c r="M31" s="7">
        <v>7.6417000000000002</v>
      </c>
      <c r="N31" s="7">
        <v>1.0558000000000001</v>
      </c>
      <c r="O31" s="7">
        <v>3.1375000000000002</v>
      </c>
      <c r="P31" s="7">
        <v>0.66</v>
      </c>
      <c r="Q31" s="7"/>
    </row>
    <row r="32" spans="1:17" x14ac:dyDescent="0.25">
      <c r="A32" s="2" t="s">
        <v>48</v>
      </c>
      <c r="B32" s="3" t="s">
        <v>17</v>
      </c>
      <c r="C32" s="3" t="s">
        <v>18</v>
      </c>
      <c r="D32" s="4">
        <v>78.938699999999997</v>
      </c>
      <c r="E32" s="4">
        <v>70.991500000000002</v>
      </c>
      <c r="F32" s="4">
        <v>61.973199999999999</v>
      </c>
      <c r="G32" s="4">
        <v>12.7033</v>
      </c>
      <c r="H32" s="4">
        <v>0.24940000000000001</v>
      </c>
      <c r="I32" s="4">
        <v>44.027000000000001</v>
      </c>
      <c r="J32" s="8">
        <f t="shared" si="0"/>
        <v>44027</v>
      </c>
      <c r="K32" s="4">
        <v>34.754300000000001</v>
      </c>
      <c r="L32" s="4">
        <v>0.40500000000000003</v>
      </c>
      <c r="M32" s="4">
        <v>21.538399999999999</v>
      </c>
      <c r="N32" s="4">
        <v>3.1341999999999999</v>
      </c>
      <c r="O32" s="4">
        <v>10.0817</v>
      </c>
      <c r="P32" s="4">
        <v>6.1499999999999999E-2</v>
      </c>
      <c r="Q32" s="4"/>
    </row>
    <row r="33" spans="1:17" x14ac:dyDescent="0.25">
      <c r="A33" s="5" t="s">
        <v>49</v>
      </c>
      <c r="B33" s="6" t="s">
        <v>17</v>
      </c>
      <c r="C33" s="6" t="s">
        <v>50</v>
      </c>
      <c r="D33" s="7">
        <v>69.2136</v>
      </c>
      <c r="E33" s="7">
        <v>57.6952</v>
      </c>
      <c r="F33" s="7">
        <v>43.912799999999997</v>
      </c>
      <c r="G33" s="7">
        <v>23.888300000000001</v>
      </c>
      <c r="H33" s="7">
        <v>9.2117000000000004</v>
      </c>
      <c r="I33" s="7">
        <v>251.06610000000001</v>
      </c>
      <c r="J33" s="8">
        <f t="shared" si="0"/>
        <v>251066.1</v>
      </c>
      <c r="K33" s="7">
        <v>173.77170000000001</v>
      </c>
      <c r="L33" s="7">
        <v>11.802099999999999</v>
      </c>
      <c r="M33" s="7">
        <v>76.308000000000007</v>
      </c>
      <c r="N33" s="7">
        <v>23.95</v>
      </c>
      <c r="O33" s="7">
        <v>73.5137</v>
      </c>
      <c r="P33" s="7">
        <v>9.2355</v>
      </c>
      <c r="Q33" s="7"/>
    </row>
    <row r="34" spans="1:17" x14ac:dyDescent="0.25">
      <c r="A34" s="2" t="s">
        <v>51</v>
      </c>
      <c r="B34" s="3" t="s">
        <v>17</v>
      </c>
      <c r="C34" s="3" t="s">
        <v>50</v>
      </c>
      <c r="D34" s="4">
        <v>76.817800000000005</v>
      </c>
      <c r="E34" s="4">
        <v>58.720700000000001</v>
      </c>
      <c r="F34" s="4">
        <v>45.1434</v>
      </c>
      <c r="G34" s="4">
        <v>23.121700000000001</v>
      </c>
      <c r="H34" s="4">
        <v>5.3978999999999999</v>
      </c>
      <c r="I34" s="4">
        <v>193.95480000000001</v>
      </c>
      <c r="J34" s="8">
        <f t="shared" si="0"/>
        <v>193954.80000000002</v>
      </c>
      <c r="K34" s="4">
        <v>148.99170000000001</v>
      </c>
      <c r="L34" s="4">
        <v>1.1569</v>
      </c>
      <c r="M34" s="4">
        <v>67.260000000000005</v>
      </c>
      <c r="N34" s="4">
        <v>20.228899999999999</v>
      </c>
      <c r="O34" s="4">
        <v>61.502800000000001</v>
      </c>
      <c r="P34" s="4">
        <v>4.7225999999999999</v>
      </c>
      <c r="Q34" s="4"/>
    </row>
    <row r="35" spans="1:17" x14ac:dyDescent="0.25">
      <c r="A35" s="5" t="s">
        <v>52</v>
      </c>
      <c r="B35" s="6" t="s">
        <v>17</v>
      </c>
      <c r="C35" s="6" t="s">
        <v>50</v>
      </c>
      <c r="D35" s="7">
        <v>77.307599999999994</v>
      </c>
      <c r="E35" s="7">
        <v>73.550600000000003</v>
      </c>
      <c r="F35" s="7">
        <v>65.801199999999994</v>
      </c>
      <c r="G35" s="7">
        <v>10.536099999999999</v>
      </c>
      <c r="H35" s="7">
        <v>11.5695</v>
      </c>
      <c r="I35" s="7">
        <v>885.50030000000004</v>
      </c>
      <c r="J35" s="8">
        <f t="shared" si="0"/>
        <v>885500.3</v>
      </c>
      <c r="K35" s="7">
        <v>684.55899999999997</v>
      </c>
      <c r="L35" s="7">
        <v>49.355499999999999</v>
      </c>
      <c r="M35" s="7">
        <v>450.4479</v>
      </c>
      <c r="N35" s="7">
        <v>53.049199999999999</v>
      </c>
      <c r="O35" s="7">
        <v>181.06190000000001</v>
      </c>
      <c r="P35" s="7">
        <v>58.252200000000002</v>
      </c>
      <c r="Q35" s="7"/>
    </row>
    <row r="36" spans="1:17" x14ac:dyDescent="0.25">
      <c r="A36" s="2" t="s">
        <v>53</v>
      </c>
      <c r="B36" s="3" t="s">
        <v>17</v>
      </c>
      <c r="C36" s="3" t="s">
        <v>50</v>
      </c>
      <c r="D36" s="4">
        <v>72.908299999999997</v>
      </c>
      <c r="E36" s="4">
        <v>70.786900000000003</v>
      </c>
      <c r="F36" s="4">
        <v>53.87</v>
      </c>
      <c r="G36" s="4">
        <v>23.898399999999999</v>
      </c>
      <c r="H36" s="4">
        <v>4.5304000000000002</v>
      </c>
      <c r="I36" s="4">
        <v>87.706800000000001</v>
      </c>
      <c r="J36" s="8">
        <f t="shared" si="0"/>
        <v>87706.8</v>
      </c>
      <c r="K36" s="4">
        <v>63.945599999999999</v>
      </c>
      <c r="L36" s="4">
        <v>4.1058000000000003</v>
      </c>
      <c r="M36" s="4">
        <v>34.447499999999998</v>
      </c>
      <c r="N36" s="4">
        <v>10.817600000000001</v>
      </c>
      <c r="O36" s="4">
        <v>18.680499999999999</v>
      </c>
      <c r="P36" s="4">
        <v>2.0507</v>
      </c>
      <c r="Q36" s="4"/>
    </row>
    <row r="37" spans="1:17" x14ac:dyDescent="0.25">
      <c r="A37" s="5" t="s">
        <v>54</v>
      </c>
      <c r="B37" s="6" t="s">
        <v>17</v>
      </c>
      <c r="C37" s="6" t="s">
        <v>50</v>
      </c>
      <c r="D37" s="7">
        <v>84.422499999999999</v>
      </c>
      <c r="E37" s="7">
        <v>66.459999999999994</v>
      </c>
      <c r="F37" s="7">
        <v>63.222200000000001</v>
      </c>
      <c r="G37" s="7">
        <v>4.8719000000000001</v>
      </c>
      <c r="H37" s="7">
        <v>2.5484</v>
      </c>
      <c r="I37" s="7">
        <v>101.8062</v>
      </c>
      <c r="J37" s="8">
        <f t="shared" si="0"/>
        <v>101806.2</v>
      </c>
      <c r="K37" s="7">
        <v>85.947299999999998</v>
      </c>
      <c r="L37" s="7">
        <v>0.254</v>
      </c>
      <c r="M37" s="7">
        <v>54.337800000000001</v>
      </c>
      <c r="N37" s="7">
        <v>2.7829000000000002</v>
      </c>
      <c r="O37" s="7">
        <v>28.826699999999999</v>
      </c>
      <c r="P37" s="7">
        <v>1.4557</v>
      </c>
      <c r="Q3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Datos_Por_Ciudad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FAYDER ENRIQUE ARROYO</cp:lastModifiedBy>
  <dcterms:created xsi:type="dcterms:W3CDTF">2026-05-16T22:52:28Z</dcterms:created>
  <dcterms:modified xsi:type="dcterms:W3CDTF">2026-05-28T22:13:06Z</dcterms:modified>
</cp:coreProperties>
</file>